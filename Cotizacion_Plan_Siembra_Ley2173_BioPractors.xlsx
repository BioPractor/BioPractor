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 y Costeo" sheetId="1" state="visible" r:id="rId1"/>
    <sheet name="Cotiz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$#,##0;($#,##0);-"/>
    <numFmt numFmtId="166" formatCode="0.0%"/>
  </numFmts>
  <fonts count="26">
    <font>
      <name val="Calibri"/>
      <family val="2"/>
      <color theme="1"/>
      <sz val="11"/>
      <scheme val="minor"/>
    </font>
    <font>
      <name val="Arial"/>
      <b val="1"/>
      <color rgb="001B5E20"/>
      <sz val="13"/>
    </font>
    <font>
      <name val="Arial"/>
      <color rgb="00555555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FF"/>
      <sz val="10"/>
    </font>
    <font>
      <name val="Arial"/>
      <color rgb="00666666"/>
      <sz val="8"/>
    </font>
    <font>
      <name val="Arial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666666"/>
      <sz val="8"/>
    </font>
    <font>
      <name val="Arial"/>
      <b val="1"/>
      <color rgb="001B5E20"/>
      <sz val="24"/>
    </font>
    <font>
      <name val="Arial"/>
      <b val="1"/>
      <color rgb="00FFFFFF"/>
      <sz val="16"/>
    </font>
    <font>
      <name val="Arial"/>
      <b val="1"/>
      <color rgb="00FFFFFF"/>
      <sz val="8"/>
    </font>
    <font>
      <name val="Arial"/>
      <color rgb="00333333"/>
      <sz val="9"/>
    </font>
    <font>
      <name val="Arial"/>
      <b val="1"/>
      <color rgb="00555555"/>
      <sz val="9"/>
    </font>
    <font>
      <name val="Arial"/>
      <b val="1"/>
      <color rgb="00FFFFFF"/>
      <sz val="10"/>
    </font>
    <font>
      <name val="Arial"/>
      <b val="1"/>
      <color rgb="001B5E20"/>
      <sz val="11"/>
    </font>
    <font>
      <name val="Arial"/>
      <b val="1"/>
      <color rgb="000000FF"/>
      <sz val="14"/>
    </font>
    <font>
      <name val="Arial"/>
      <b val="1"/>
      <color rgb="00333333"/>
      <sz val="10"/>
    </font>
    <font>
      <name val="Arial"/>
      <b val="1"/>
      <color rgb="001B5E20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2"/>
    </font>
    <font>
      <name val="Arial"/>
      <b val="1"/>
      <color rgb="001B5E20"/>
      <sz val="10"/>
    </font>
    <font>
      <name val="Arial"/>
      <color rgb="00333333"/>
      <sz val="8"/>
    </font>
    <font>
      <name val="Arial"/>
      <b val="1"/>
      <color rgb="001B5E20"/>
      <sz val="8"/>
    </font>
  </fonts>
  <fills count="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2F2F2"/>
      </patternFill>
    </fill>
    <fill>
      <patternFill patternType="solid">
        <fgColor rgb="001B5E20"/>
      </patternFill>
    </fill>
    <fill>
      <patternFill patternType="solid">
        <fgColor rgb="00FFF59D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165" fontId="8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5" borderId="0" applyAlignment="1" pivotButton="0" quotePrefix="0" xfId="0">
      <alignment horizontal="left" vertical="center" wrapText="1"/>
    </xf>
    <xf numFmtId="165" fontId="3" fillId="5" borderId="1" applyAlignment="1" pivotButton="0" quotePrefix="0" xfId="0">
      <alignment horizontal="right" vertical="center"/>
    </xf>
    <xf numFmtId="0" fontId="0" fillId="5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15" fillId="5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18" fillId="0" borderId="0" applyAlignment="1" pivotButton="0" quotePrefix="0" xfId="0">
      <alignment horizontal="left" vertical="center" wrapText="1"/>
    </xf>
    <xf numFmtId="164" fontId="19" fillId="3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left" vertical="center" wrapText="1"/>
    </xf>
    <xf numFmtId="164" fontId="21" fillId="0" borderId="1" applyAlignment="1" pivotButton="0" quotePrefix="0" xfId="0">
      <alignment horizontal="center" vertical="center" wrapText="1"/>
    </xf>
    <xf numFmtId="165" fontId="21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8" fillId="3" borderId="1" applyAlignment="1" pivotButton="0" quotePrefix="0" xfId="0">
      <alignment horizontal="right" vertical="center"/>
    </xf>
    <xf numFmtId="0" fontId="0" fillId="3" borderId="1" pivotButton="0" quotePrefix="0" xfId="0"/>
    <xf numFmtId="165" fontId="8" fillId="3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right" vertical="center"/>
    </xf>
    <xf numFmtId="0" fontId="0" fillId="5" borderId="1" pivotButton="0" quotePrefix="0" xfId="0"/>
    <xf numFmtId="165" fontId="22" fillId="5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165" fontId="23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BioPractors</author>
  </authors>
  <commentList>
    <comment ref="E15" authorId="0" shapeId="0">
      <text>
        <t>EDITAR AQUÍ. Ingrese el número de empleados con contrato vigente al 31-dic del año base (no cuente menores, periodo de prueba, temporales, contratistas de servicios ni personal de EST). Ejemplo cargado: 250.</t>
      </text>
    </comment>
    <comment ref="D22" authorId="0" shapeId="0">
      <text>
        <t>Número de viajes de camión.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6" customWidth="1" min="3" max="3"/>
    <col width="14" customWidth="1" min="4" max="4"/>
    <col width="60" customWidth="1" min="5" max="5"/>
  </cols>
  <sheetData>
    <row r="2">
      <c r="B2" s="1" t="inlineStr">
        <is>
          <t>BioPractors — Parámetros de costeo (Plan de Siembra Ley 2173 de 2021)</t>
        </is>
      </c>
    </row>
    <row r="3">
      <c r="B3" s="2" t="inlineStr">
        <is>
          <t>Celdas azules = valores editables (supuestos). Ajústalos según cotización de vivero y condiciones de la operación.</t>
        </is>
      </c>
    </row>
    <row r="5">
      <c r="B5" s="3" t="inlineStr">
        <is>
          <t>A.  BASE LEGAL</t>
        </is>
      </c>
    </row>
    <row r="6">
      <c r="B6" s="5" t="inlineStr">
        <is>
          <t>Árboles a sembrar por cada empleado</t>
        </is>
      </c>
      <c r="C6" s="6" t="n">
        <v>2</v>
      </c>
      <c r="E6" s="7" t="inlineStr">
        <is>
          <t>Ley 2173/2021 y Res. 1491/2025: mínimo 2 árboles por empleado con contrato vigente al 31-dic del año base. Aplica a medianas y grandes empresas.</t>
        </is>
      </c>
    </row>
    <row r="8">
      <c r="B8" s="3" t="inlineStr">
        <is>
          <t>B.  COSTOS DIRECTOS UNITARIOS POR ÁRBOL (COP)</t>
        </is>
      </c>
    </row>
    <row r="9">
      <c r="B9" s="5" t="inlineStr">
        <is>
          <t>Material vegetal ~60 cm (árbol/arbusto nativo, vivero registrado ICA)</t>
        </is>
      </c>
      <c r="C9" s="8" t="n">
        <v>12000</v>
      </c>
      <c r="E9" s="7" t="inlineStr">
        <is>
          <t>Precio estándar de vivero para material de ~60 cm adaptado a Bogotá y la Sabana (aliso, arrayán, raque, hayuelo, cedro, roble andino, sauco, etc.).</t>
        </is>
      </c>
    </row>
    <row r="10">
      <c r="B10" s="5" t="inlineStr">
        <is>
          <t>Insumos de siembra (compost/abono, cal dolomita, hidroretenedor, fertilizante inicial, tutor y amarre)</t>
        </is>
      </c>
      <c r="C10" s="8" t="n">
        <v>9000</v>
      </c>
      <c r="E10" s="7" t="inlineStr">
        <is>
          <t>Insumos por sitio de plantación.</t>
        </is>
      </c>
    </row>
    <row r="11">
      <c r="B11" s="5" t="inlineStr">
        <is>
          <t>Mano de obra de siembra (ahoyado 40×40×40, plateo, plantación, tutorado)</t>
        </is>
      </c>
      <c r="C11" s="8" t="n">
        <v>5000</v>
      </c>
      <c r="E11" s="7" t="inlineStr">
        <is>
          <t>≈ jornal $80.000/día ÷ ~16 árboles/día incl. prestaciones y ARL.</t>
        </is>
      </c>
    </row>
    <row r="12">
      <c r="B12" s="5" t="inlineStr">
        <is>
          <t>Mano de obra de mantenimiento 2 años (operarios: plateo, fertilización, riego, poda, monitoreo)</t>
        </is>
      </c>
      <c r="C12" s="8" t="n">
        <v>14000</v>
      </c>
      <c r="E12" s="7" t="inlineStr">
        <is>
          <t>≈ 10 ciclos en 24 meses (bimestral año 1 / trimestral año 2).</t>
        </is>
      </c>
    </row>
    <row r="13">
      <c r="B13" s="5" t="inlineStr">
        <is>
          <t>Suministros de mantenimiento 2 años (fertilizante, control fitosanitario, riego, reposición de tutores)</t>
        </is>
      </c>
      <c r="C13" s="8" t="n">
        <v>9000</v>
      </c>
      <c r="E13" s="7" t="inlineStr">
        <is>
          <t>Insumos recurrentes durante los 2 años de acompañamiento.</t>
        </is>
      </c>
    </row>
    <row r="14">
      <c r="B14" s="5" t="inlineStr">
        <is>
          <t>Transporte de operarios y suministros de mantenimiento (por árbol)</t>
        </is>
      </c>
      <c r="C14" s="8" t="n">
        <v>3000</v>
      </c>
      <c r="E14" s="7" t="inlineStr">
        <is>
          <t>Movilización de cuadrillas a los sitios durante el mantenimiento.</t>
        </is>
      </c>
    </row>
    <row r="16">
      <c r="B16" s="3" t="inlineStr">
        <is>
          <t>C.  REPOSICIÓN DE ÁRBOLES MUERTOS (PRIMER AÑO)</t>
        </is>
      </c>
    </row>
    <row r="17">
      <c r="B17" s="5" t="inlineStr">
        <is>
          <t>% de mortalidad a reponer durante el primer año</t>
        </is>
      </c>
      <c r="C17" s="9" t="n">
        <v>0.15</v>
      </c>
      <c r="E17" s="7" t="inlineStr">
        <is>
          <t>Reposición exigida por la norma; 15% es un valor conservador de prendimiento en restauración.</t>
        </is>
      </c>
    </row>
    <row r="18">
      <c r="B18" s="5" t="inlineStr">
        <is>
          <t>Costo de reponer un árbol muerto (material + siembra + insumo básico)</t>
        </is>
      </c>
      <c r="C18" s="8" t="n">
        <v>20000</v>
      </c>
      <c r="E18" s="7">
        <f> material + mano de obra de resiembra + insumo básico por árbol repuesto.</f>
        <v/>
      </c>
    </row>
    <row r="19">
      <c r="B19" s="10" t="inlineStr">
        <is>
          <t>Costo de reposición prorrateado por árbol sembrado</t>
        </is>
      </c>
      <c r="C19" s="11">
        <f>C17*C18</f>
        <v/>
      </c>
      <c r="E19" s="12" t="inlineStr">
        <is>
          <t>Fórmula: % mortalidad × costo de reposición.</t>
        </is>
      </c>
    </row>
    <row r="21">
      <c r="B21" s="3" t="inlineStr">
        <is>
          <t>D.  FLETE DE MATERIAL VEGETAL (VIVERO → EMPRESA, BOGOTÁ)</t>
        </is>
      </c>
    </row>
    <row r="22">
      <c r="B22" s="5" t="inlineStr">
        <is>
          <t>Capacidad por viaje — camión 0 a 4 ton (árboles de ~60 cm en bolsa)</t>
        </is>
      </c>
      <c r="C22" s="6" t="n">
        <v>300</v>
      </c>
      <c r="E22" s="7" t="inlineStr">
        <is>
          <t>Estimado de unidades por viaje según volumen de bolsa.</t>
        </is>
      </c>
    </row>
    <row r="23">
      <c r="B23" s="5" t="inlineStr">
        <is>
          <t>Valor del flete por viaje (camión 0-4 ton en Bogotá)</t>
        </is>
      </c>
      <c r="C23" s="8" t="n">
        <v>500000</v>
      </c>
      <c r="E23" s="7" t="inlineStr">
        <is>
          <t>Rango de mercado informado: $400.000 a $600.000 por flete. Punto medio $500.000.</t>
        </is>
      </c>
    </row>
    <row r="25">
      <c r="B25" s="3" t="inlineStr">
        <is>
          <t>E.  PARÁMETROS COMERCIALES</t>
        </is>
      </c>
    </row>
    <row r="26">
      <c r="B26" s="5" t="inlineStr">
        <is>
          <t>Margen / utilidad aplicado sobre el costo directo</t>
        </is>
      </c>
      <c r="C26" s="9" t="n">
        <v>0.5</v>
      </c>
      <c r="E26" s="7" t="inlineStr">
        <is>
          <t>Utilidad del 50% sobre el costo directo total (precio = costo × 1,50).</t>
        </is>
      </c>
    </row>
    <row r="27">
      <c r="B27" s="5" t="inlineStr">
        <is>
          <t>IVA aplicable al servicio</t>
        </is>
      </c>
      <c r="C27" s="9" t="n">
        <v>0.19</v>
      </c>
      <c r="E27" s="7" t="inlineStr">
        <is>
          <t>IVA 19%. Verifica el tratamiento tributario; parte del material vegetal puede estar excluido/exento.</t>
        </is>
      </c>
    </row>
    <row r="29">
      <c r="B29" s="13" t="inlineStr">
        <is>
          <t>COSTO DIRECTO POR ÁRBOL (sin flete de material)</t>
        </is>
      </c>
      <c r="C29" s="14">
        <f>C9+C10+C11+C12+C13+C14+C19</f>
        <v/>
      </c>
      <c r="D29" s="15" t="n"/>
    </row>
    <row r="30">
      <c r="B30" s="16" t="inlineStr">
        <is>
          <t>El flete se calcula aparte por número de viajes (celda C22 y C23).</t>
        </is>
      </c>
    </row>
  </sheetData>
  <mergeCells count="8">
    <mergeCell ref="B8:E8"/>
    <mergeCell ref="B29"/>
    <mergeCell ref="B21:E21"/>
    <mergeCell ref="B16:E16"/>
    <mergeCell ref="B25:E25"/>
    <mergeCell ref="B3:E3"/>
    <mergeCell ref="B5:E5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6" customWidth="1" min="3" max="3"/>
    <col width="14" customWidth="1" min="4" max="4"/>
    <col width="16" customWidth="1" min="5" max="5"/>
    <col width="18" customWidth="1" min="6" max="6"/>
    <col width="3" customWidth="1" min="7" max="7"/>
  </cols>
  <sheetData>
    <row r="2">
      <c r="B2" s="17" t="inlineStr">
        <is>
          <t>BioPractors</t>
        </is>
      </c>
      <c r="E2" s="18" t="inlineStr">
        <is>
          <t>COTIZACIÓN</t>
        </is>
      </c>
    </row>
    <row r="3">
      <c r="E3" s="19" t="inlineStr">
        <is>
          <t>Plan de Siembra — Ley 2173 de 2021 / Res. 1491 de 2025</t>
        </is>
      </c>
    </row>
    <row r="4">
      <c r="E4" s="20" t="inlineStr">
        <is>
          <t>Ciudad: Bogotá D.C. y Sabana</t>
        </is>
      </c>
    </row>
    <row r="6">
      <c r="C6" s="21" t="inlineStr">
        <is>
          <t>Cotización N°:</t>
        </is>
      </c>
      <c r="E6" s="22" t="inlineStr">
        <is>
          <t>BP-2026-____</t>
        </is>
      </c>
      <c r="F6" s="46" t="n"/>
    </row>
    <row r="7">
      <c r="C7" s="21" t="inlineStr">
        <is>
          <t>Fecha:</t>
        </is>
      </c>
      <c r="E7" s="22" t="inlineStr">
        <is>
          <t>____ / ____ / 2026</t>
        </is>
      </c>
      <c r="F7" s="46" t="n"/>
    </row>
    <row r="8">
      <c r="C8" s="21" t="inlineStr">
        <is>
          <t>Validez de la oferta:</t>
        </is>
      </c>
      <c r="E8" s="22" t="inlineStr">
        <is>
          <t>30 días calendario</t>
        </is>
      </c>
      <c r="F8" s="46" t="n"/>
    </row>
    <row r="10">
      <c r="C10" s="23" t="inlineStr">
        <is>
          <t>DATOS DEL CLIENTE</t>
        </is>
      </c>
    </row>
    <row r="11">
      <c r="C11" s="21" t="inlineStr">
        <is>
          <t>Empresa:</t>
        </is>
      </c>
      <c r="E11" s="22" t="inlineStr">
        <is>
          <t>______________________________</t>
        </is>
      </c>
      <c r="F11" s="46" t="n"/>
    </row>
    <row r="12">
      <c r="C12" s="21" t="inlineStr">
        <is>
          <t>NIT:</t>
        </is>
      </c>
      <c r="E12" s="22" t="inlineStr">
        <is>
          <t>______________________________</t>
        </is>
      </c>
      <c r="F12" s="46" t="n"/>
    </row>
    <row r="13">
      <c r="C13" s="21" t="inlineStr">
        <is>
          <t>Contacto:</t>
        </is>
      </c>
      <c r="E13" s="22" t="inlineStr">
        <is>
          <t>______________________________</t>
        </is>
      </c>
      <c r="F13" s="46" t="n"/>
    </row>
    <row r="15">
      <c r="C15" s="24" t="inlineStr">
        <is>
          <t>► N.° DE EMPLEADOS (único dato pendiente)</t>
        </is>
      </c>
      <c r="E15" s="25" t="n">
        <v>250</v>
      </c>
      <c r="F15" s="26" t="n"/>
    </row>
    <row r="16">
      <c r="C16" s="27" t="inlineStr">
        <is>
          <t>Árboles a sembrar (empleados × 2)</t>
        </is>
      </c>
      <c r="E16" s="28">
        <f>E15*'Parametros y Costeo'!C6</f>
        <v/>
      </c>
      <c r="F16" s="26" t="n"/>
    </row>
    <row r="18" ht="30" customHeight="1">
      <c r="B18" s="29" t="inlineStr">
        <is>
          <t>Ítem</t>
        </is>
      </c>
      <c r="C18" s="29" t="inlineStr">
        <is>
          <t>Descripción</t>
        </is>
      </c>
      <c r="D18" s="29" t="inlineStr">
        <is>
          <t>Cant.
(árboles)</t>
        </is>
      </c>
      <c r="E18" s="29" t="inlineStr">
        <is>
          <t>Valor unit.
(COP/árbol)</t>
        </is>
      </c>
      <c r="F18" s="29" t="inlineStr">
        <is>
          <t>Valor total
(COP)</t>
        </is>
      </c>
    </row>
    <row r="19">
      <c r="B19" s="30" t="n">
        <v>1</v>
      </c>
      <c r="C19" s="31" t="inlineStr">
        <is>
          <t>Suministro de material vegetal ~60 cm (nativo, vivero ICA) e instalación: ahoyado, siembra, insumos y tutorado</t>
        </is>
      </c>
      <c r="D19" s="32">
        <f>E16</f>
        <v/>
      </c>
      <c r="E19" s="33">
        <f>'Parametros y Costeo'!C9+'Parametros y Costeo'!C10+'Parametros y Costeo'!C11</f>
        <v/>
      </c>
      <c r="F19" s="33">
        <f>D19*E19</f>
        <v/>
      </c>
    </row>
    <row r="20">
      <c r="B20" s="30" t="n">
        <v>2</v>
      </c>
      <c r="C20" s="31" t="inlineStr">
        <is>
          <t>Mantenimiento y monitoreo por 2 años: operarios (plateo, fertilización, riego, poda) y suministros</t>
        </is>
      </c>
      <c r="D20" s="32">
        <f>E16</f>
        <v/>
      </c>
      <c r="E20" s="33">
        <f>'Parametros y Costeo'!C12+'Parametros y Costeo'!C13+'Parametros y Costeo'!C14</f>
        <v/>
      </c>
      <c r="F20" s="33">
        <f>D20*E20</f>
        <v/>
      </c>
    </row>
    <row r="21">
      <c r="B21" s="30" t="n">
        <v>3</v>
      </c>
      <c r="C21" s="31" t="inlineStr">
        <is>
          <t>Reposición de árboles muertos durante el primer año (prorrateado)</t>
        </is>
      </c>
      <c r="D21" s="32">
        <f>E16</f>
        <v/>
      </c>
      <c r="E21" s="33">
        <f>'Parametros y Costeo'!C19</f>
        <v/>
      </c>
      <c r="F21" s="33">
        <f>D21*E21</f>
        <v/>
      </c>
    </row>
    <row r="22">
      <c r="B22" s="30" t="n">
        <v>4</v>
      </c>
      <c r="C22" s="31" t="inlineStr">
        <is>
          <t>Flete de material vegetal vivero → empresa (camión 0-4 ton). Viajes = árboles ÷ capacidad, redondeado al alza</t>
        </is>
      </c>
      <c r="D22" s="32">
        <f>ROUNDUP(E16/'Parametros y Costeo'!C22,0)</f>
        <v/>
      </c>
      <c r="E22" s="33">
        <f>'Parametros y Costeo'!C23</f>
        <v/>
      </c>
      <c r="F22" s="33">
        <f>D22*E22</f>
        <v/>
      </c>
    </row>
    <row r="23">
      <c r="B23" s="34" t="inlineStr">
        <is>
          <t>COSTO DIRECTO TOTAL</t>
        </is>
      </c>
      <c r="C23" s="47" t="n"/>
      <c r="D23" s="47" t="n"/>
      <c r="E23" s="26" t="n"/>
      <c r="F23" s="11">
        <f>SUM(F19:F22)</f>
        <v/>
      </c>
    </row>
    <row r="24">
      <c r="B24" s="34" t="inlineStr">
        <is>
          <t>Utilidad / margen (50% sobre costo directo)</t>
        </is>
      </c>
      <c r="C24" s="47" t="n"/>
      <c r="D24" s="47" t="n"/>
      <c r="E24" s="26" t="n"/>
      <c r="F24" s="11">
        <f>F23*'Parametros y Costeo'!C26</f>
        <v/>
      </c>
    </row>
    <row r="25">
      <c r="B25" s="36" t="inlineStr">
        <is>
          <t>SUBTOTAL (antes de IVA)</t>
        </is>
      </c>
      <c r="C25" s="47" t="n"/>
      <c r="D25" s="47" t="n"/>
      <c r="E25" s="26" t="n"/>
      <c r="F25" s="38">
        <f>F23+F24</f>
        <v/>
      </c>
    </row>
    <row r="26">
      <c r="B26" s="34" t="inlineStr">
        <is>
          <t>IVA (19%)</t>
        </is>
      </c>
      <c r="C26" s="47" t="n"/>
      <c r="D26" s="47" t="n"/>
      <c r="E26" s="26" t="n"/>
      <c r="F26" s="11">
        <f>F25*'Parametros y Costeo'!C27</f>
        <v/>
      </c>
    </row>
    <row r="27" ht="22" customHeight="1">
      <c r="B27" s="39" t="inlineStr">
        <is>
          <t>VALOR TOTAL DE LA COTIZACIÓN</t>
        </is>
      </c>
      <c r="C27" s="47" t="n"/>
      <c r="D27" s="47" t="n"/>
      <c r="E27" s="26" t="n"/>
      <c r="F27" s="41">
        <f>F25+F26</f>
        <v/>
      </c>
    </row>
    <row r="29">
      <c r="C29" s="42" t="inlineStr">
        <is>
          <t>Valor por árbol (con IVA):</t>
        </is>
      </c>
      <c r="E29" s="43">
        <f>F27/E16</f>
        <v/>
      </c>
    </row>
    <row r="30">
      <c r="C30" s="42" t="inlineStr">
        <is>
          <t>Valor por empleado (con IVA):</t>
        </is>
      </c>
      <c r="E30" s="43">
        <f>F27/E15</f>
        <v/>
      </c>
    </row>
    <row r="32">
      <c r="B32" s="23" t="inlineStr">
        <is>
          <t>ALCANCE Y CONDICIONES</t>
        </is>
      </c>
    </row>
    <row r="33" ht="24" customHeight="1">
      <c r="B33" s="44" t="inlineStr">
        <is>
          <t>• Cumplimiento de la Ley 2173 de 2021 y la Resolución 1491 de 2025: siembra de 2 árboles por empleado con contrato vigente al 31 de diciembre del año base.</t>
        </is>
      </c>
    </row>
    <row r="34" ht="24" customHeight="1">
      <c r="B34" s="44" t="inlineStr">
        <is>
          <t>• Material vegetal de ~60 cm proveniente de viveros registrados ante el ICA, con especies nativas adaptadas a Bogotá y la Sabana.</t>
        </is>
      </c>
    </row>
    <row r="35" ht="24" customHeight="1">
      <c r="B35" s="44" t="inlineStr">
        <is>
          <t>• Incluye establecimiento (ahoyado, siembra, insumos, tutorado), transporte del material y mantenimiento con monitoreo por 24 meses.</t>
        </is>
      </c>
    </row>
    <row r="36" ht="24" customHeight="1">
      <c r="B36" s="44" t="inlineStr">
        <is>
          <t>• Incluye reposición de árboles muertos durante el primer año (mortalidad estimada 15%).</t>
        </is>
      </c>
    </row>
    <row r="37" ht="24" customHeight="1">
      <c r="B37" s="44" t="inlineStr">
        <is>
          <t>• El sitio de siembra corresponde a las 'Áreas de Vida' que delimite el municipio/distrito; los costos de permisos o adecuaciones especiales del predio no están incluidos.</t>
        </is>
      </c>
    </row>
    <row r="38" ht="24" customHeight="1">
      <c r="B38" s="44" t="inlineStr">
        <is>
          <t>• Precios en pesos colombianos (COP). Flete estimado para Bogotá D.C. (camión 0-4 ton); se ajusta según distancia final al predio.</t>
        </is>
      </c>
    </row>
    <row r="39" ht="24" customHeight="1">
      <c r="B39" s="44" t="inlineStr">
        <is>
          <t>• Valores sujetos a verificación del número de empleados y a visita técnica del predio. Oferta válida por 30 días.</t>
        </is>
      </c>
    </row>
    <row r="41">
      <c r="B41" s="45" t="inlineStr">
        <is>
          <t>BioPractors — Soluciones ambientales · Bogotá D.C.  |  Cotización generada como plantilla editable.</t>
        </is>
      </c>
    </row>
  </sheetData>
  <mergeCells count="33">
    <mergeCell ref="E12:F12"/>
    <mergeCell ref="B2:D4"/>
    <mergeCell ref="C30:D30"/>
    <mergeCell ref="C15:D15"/>
    <mergeCell ref="B24:E24"/>
    <mergeCell ref="E8:F8"/>
    <mergeCell ref="B26:E26"/>
    <mergeCell ref="E4:F4"/>
    <mergeCell ref="B39:F39"/>
    <mergeCell ref="C29:D29"/>
    <mergeCell ref="C16:D16"/>
    <mergeCell ref="E29:F29"/>
    <mergeCell ref="B25:E25"/>
    <mergeCell ref="E13:F13"/>
    <mergeCell ref="B27:E27"/>
    <mergeCell ref="E6:F6"/>
    <mergeCell ref="E30:F30"/>
    <mergeCell ref="B38:F38"/>
    <mergeCell ref="E15:F15"/>
    <mergeCell ref="B34:F34"/>
    <mergeCell ref="E2:F2"/>
    <mergeCell ref="E11:F11"/>
    <mergeCell ref="B37:F37"/>
    <mergeCell ref="C10:F10"/>
    <mergeCell ref="B23:E23"/>
    <mergeCell ref="E16:F16"/>
    <mergeCell ref="E7:F7"/>
    <mergeCell ref="B33:F33"/>
    <mergeCell ref="B36:F36"/>
    <mergeCell ref="B32:F32"/>
    <mergeCell ref="B41:F41"/>
    <mergeCell ref="E3:F3"/>
    <mergeCell ref="B35:F3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2026-08-24T13:26:16Z</dcterms:created>
  <dcterms:modified xsi:type="dcterms:W3CDTF">2026-08-24T13:28:35Z</dcterms:modified>
</cp:coreProperties>
</file>